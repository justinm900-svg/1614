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  <sheet name="Quote" sheetId="2" state="visible" r:id="rId2"/>
    <sheet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color rgb="000000FF"/>
    </font>
    <font>
      <name val="Arial"/>
      <i val="1"/>
      <color rgb="00666666"/>
    </font>
    <font>
      <name val="Arial"/>
      <i val="1"/>
    </font>
    <font>
      <name val="Arial"/>
      <b val="1"/>
    </font>
    <font>
      <name val="Arial"/>
      <color rgb="008A1F1F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1" fontId="2" fillId="0" borderId="0" pivotButton="0" quotePrefix="0" xfId="0"/>
    <xf numFmtId="164" fontId="2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1614</author>
  </authors>
  <commentList>
    <comment ref="B21" authorId="0" shapeId="0">
      <text>
        <t>Rule (Justin 2026-09-24): homeowner who completed the $249 Water Defense Setup and joins membership within 30 days pays no $199 Member Setup, is charged only newly approved sensors/equipment, and gets a separate $50 credit on the first-year membership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1614 Home Co. — Pricing (source of truth, launch brief 2026-09-24)</t>
        </is>
      </c>
    </row>
    <row r="3">
      <c r="A3" s="2" t="inlineStr">
        <is>
          <t>Standard — up to 3 baths</t>
        </is>
      </c>
      <c r="B3" s="3" t="n">
        <v>799</v>
      </c>
    </row>
    <row r="4">
      <c r="A4" s="2" t="inlineStr">
        <is>
          <t>Standard — 4 baths</t>
        </is>
      </c>
      <c r="B4" s="3" t="n">
        <v>899</v>
      </c>
    </row>
    <row r="5">
      <c r="A5" s="2" t="inlineStr">
        <is>
          <t>Standard — 5 baths</t>
        </is>
      </c>
      <c r="B5" s="3" t="n">
        <v>999</v>
      </c>
    </row>
    <row r="6">
      <c r="A6" s="2" t="inlineStr">
        <is>
          <t>Founding — up to 3 baths</t>
        </is>
      </c>
      <c r="B6" s="3" t="n">
        <v>699</v>
      </c>
    </row>
    <row r="7">
      <c r="A7" s="2" t="inlineStr">
        <is>
          <t>Founding — 4 baths</t>
        </is>
      </c>
      <c r="B7" s="3" t="n">
        <v>799</v>
      </c>
    </row>
    <row r="8">
      <c r="A8" s="2" t="inlineStr">
        <is>
          <t>Founding — 5 baths</t>
        </is>
      </c>
      <c r="B8" s="3" t="n">
        <v>899</v>
      </c>
    </row>
    <row r="9">
      <c r="A9" s="2" t="inlineStr">
        <is>
          <t>Custom review at bathrooms &gt;=</t>
        </is>
      </c>
      <c r="B9" s="4" t="n">
        <v>6</v>
      </c>
    </row>
    <row r="10">
      <c r="A10" s="2" t="inlineStr">
        <is>
          <t>Additional HVAC system (per year)</t>
        </is>
      </c>
      <c r="B10" s="3" t="n">
        <v>150</v>
      </c>
    </row>
    <row r="11">
      <c r="A11" s="2" t="inlineStr">
        <is>
          <t>Additional water heater (per year)</t>
        </is>
      </c>
      <c r="B11" s="3" t="n">
        <v>40</v>
      </c>
    </row>
    <row r="12">
      <c r="A12" s="2" t="inlineStr">
        <is>
          <t>Member Setup base</t>
        </is>
      </c>
      <c r="B12" s="3" t="n">
        <v>199</v>
      </c>
    </row>
    <row r="13">
      <c r="A13" s="2" t="inlineStr">
        <is>
          <t>Additional standard leak sensor (beyond the 4 included in setup)</t>
        </is>
      </c>
      <c r="B13" s="3" t="n">
        <v>35</v>
      </c>
    </row>
    <row r="14">
      <c r="A14" s="2" t="inlineStr">
        <is>
          <t>Specialty / probe sensor</t>
        </is>
      </c>
      <c r="B14" s="3" t="n">
        <v>49</v>
      </c>
    </row>
    <row r="15">
      <c r="A15" s="2" t="inlineStr">
        <is>
          <t>Water Defense standalone setup</t>
        </is>
      </c>
      <c r="B15" s="3" t="n">
        <v>249</v>
      </c>
    </row>
    <row r="16">
      <c r="A16" s="2" t="inlineStr">
        <is>
          <t>Membership conversion credit</t>
        </is>
      </c>
      <c r="B16" s="3" t="n">
        <v>50</v>
      </c>
    </row>
    <row r="17">
      <c r="A17" s="2" t="inlineStr">
        <is>
          <t>Monthly factor</t>
        </is>
      </c>
      <c r="B17" s="4" t="n">
        <v>1.08</v>
      </c>
    </row>
    <row r="18">
      <c r="A18" s="2" t="inlineStr">
        <is>
          <t>Months in term</t>
        </is>
      </c>
      <c r="B18" s="4" t="n">
        <v>12</v>
      </c>
    </row>
    <row r="19">
      <c r="A19" s="2" t="inlineStr">
        <is>
          <t>Founding cap (homes, TOTAL)</t>
        </is>
      </c>
      <c r="B19" s="4" t="n">
        <v>25</v>
      </c>
    </row>
    <row r="20">
      <c r="A20" s="2" t="inlineStr">
        <is>
          <t>Custom review at sq ft &gt;=</t>
        </is>
      </c>
      <c r="B20" s="4" t="n">
        <v>5000</v>
      </c>
    </row>
    <row r="21">
      <c r="A21" s="2" t="inlineStr">
        <is>
          <t>Water Defense conversion window (days)</t>
        </is>
      </c>
      <c r="B21" s="4" t="n">
        <v>30</v>
      </c>
    </row>
    <row r="23">
      <c r="A23" s="5" t="inlineStr">
        <is>
          <t>Blue = input from launch brief (Justin, 2026-09-24). Do not create new pricing here.</t>
        </is>
      </c>
    </row>
    <row r="24">
      <c r="A24" s="5" t="inlineStr">
        <is>
          <t>Tier rule (Justin 2026-09-24): each full AND each half bathroom counts as one bathroom toward the tier. 2 full + 2 half = 4-bath tier.</t>
        </is>
      </c>
    </row>
    <row r="25">
      <c r="A25" s="5" t="inlineStr">
        <is>
          <t>Sensor rule (Justin 2026-09-24): Member Setup $199 includes the hub + first 4 standard leak sensors. Enter only ADDITIONAL standard sensors beyond 4 (= max(total at home - 4, 0)). Specialty sensors are $49 each; a specialty sensor in one of the first 4 spots is $49 only.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1" t="inlineStr">
        <is>
          <t>1614 Home Co. — Quote Calculator (CURRENT 2026-09-24)</t>
        </is>
      </c>
    </row>
    <row r="2">
      <c r="A2" s="6" t="inlineStr">
        <is>
          <t>Keep water where it belongs.  Fill YELLOW cells only. Everything else is a formula.</t>
        </is>
      </c>
    </row>
    <row r="4">
      <c r="A4" s="7" t="inlineStr">
        <is>
          <t>INPUTS</t>
        </is>
      </c>
    </row>
    <row r="5">
      <c r="A5" s="2" t="inlineStr">
        <is>
          <t>Customer / address label</t>
        </is>
      </c>
      <c r="B5" s="8" t="inlineStr">
        <is>
          <t>TEST — Fake Customer (do not invoice)</t>
        </is>
      </c>
    </row>
    <row r="6">
      <c r="A6" s="2" t="inlineStr">
        <is>
          <t>Full bathrooms</t>
        </is>
      </c>
      <c r="B6" s="8" t="n">
        <v>2</v>
      </c>
    </row>
    <row r="7">
      <c r="A7" s="2" t="inlineStr">
        <is>
          <t>Half bathrooms</t>
        </is>
      </c>
      <c r="B7" s="8" t="n">
        <v>1</v>
      </c>
    </row>
    <row r="8">
      <c r="A8" s="2" t="inlineStr">
        <is>
          <t>HVAC systems</t>
        </is>
      </c>
      <c r="B8" s="8" t="n">
        <v>2</v>
      </c>
    </row>
    <row r="9">
      <c r="A9" s="2" t="inlineStr">
        <is>
          <t>Water heaters</t>
        </is>
      </c>
      <c r="B9" s="8" t="n">
        <v>1</v>
      </c>
    </row>
    <row r="10">
      <c r="A10" s="2" t="inlineStr">
        <is>
          <t>Approx. square feet (blank if unknown)</t>
        </is>
      </c>
      <c r="B10" s="8" t="n">
        <v>2400</v>
      </c>
    </row>
    <row r="11">
      <c r="A11" s="2" t="inlineStr">
        <is>
          <t>Sump pump? (yes/no/blank)</t>
        </is>
      </c>
      <c r="B11" s="8" t="inlineStr">
        <is>
          <t>yes</t>
        </is>
      </c>
    </row>
    <row r="12">
      <c r="A12" s="2" t="inlineStr">
        <is>
          <t>Quote a membership? (1=yes, 0=Water Defense only)</t>
        </is>
      </c>
      <c r="B12" s="8" t="n">
        <v>1</v>
      </c>
    </row>
    <row r="13">
      <c r="A13" s="2" t="inlineStr">
        <is>
          <t>Founding? (1/0)</t>
        </is>
      </c>
      <c r="B13" s="8" t="n">
        <v>1</v>
      </c>
    </row>
    <row r="14">
      <c r="A14" s="2" t="inlineStr">
        <is>
          <t>Additional Standard Sensors Beyond Included 4 (count; = max(total - 4, 0))</t>
        </is>
      </c>
      <c r="B14" s="8" t="n">
        <v>3</v>
      </c>
    </row>
    <row r="15">
      <c r="A15" s="2" t="inlineStr">
        <is>
          <t>Specialty / Probe Sensors (count)</t>
        </is>
      </c>
      <c r="B15" s="8" t="n">
        <v>1</v>
      </c>
    </row>
    <row r="16">
      <c r="A16" s="2" t="inlineStr">
        <is>
          <t>Water Defense setup? (1/0)</t>
        </is>
      </c>
      <c r="B16" s="8" t="n">
        <v>0</v>
      </c>
    </row>
    <row r="17">
      <c r="A17" s="2" t="inlineStr">
        <is>
          <t>Water Defense conversion? (1/0) — setup completed within 30 days</t>
        </is>
      </c>
      <c r="B17" s="8" t="n">
        <v>0</v>
      </c>
    </row>
    <row r="18">
      <c r="A18" s="2" t="inlineStr">
        <is>
          <t>Boiler? (1/0)</t>
        </is>
      </c>
      <c r="B18" s="8" t="n">
        <v>0</v>
      </c>
    </row>
    <row r="19">
      <c r="A19" s="2" t="inlineStr">
        <is>
          <t>Well / pressure tank? (1/0)</t>
        </is>
      </c>
      <c r="B19" s="8" t="n">
        <v>0</v>
      </c>
    </row>
    <row r="20">
      <c r="A20" s="2" t="inlineStr">
        <is>
          <t>Unusual complexity? (1/0)</t>
        </is>
      </c>
      <c r="B20" s="8" t="n">
        <v>0</v>
      </c>
    </row>
    <row r="21">
      <c r="A21" s="2" t="inlineStr">
        <is>
          <t>Sales tax rate (fraction, e.g. 0.08; blank = not applied)</t>
        </is>
      </c>
      <c r="B21" s="8" t="n"/>
    </row>
    <row r="22">
      <c r="A22" s="2" t="inlineStr">
        <is>
          <t>Tax applies to (none / setup / all)</t>
        </is>
      </c>
      <c r="B22" s="8" t="inlineStr">
        <is>
          <t>none</t>
        </is>
      </c>
    </row>
    <row r="24">
      <c r="A24" s="7" t="inlineStr">
        <is>
          <t>CALCULATION</t>
        </is>
      </c>
    </row>
    <row r="25">
      <c r="A25" s="2" t="inlineStr">
        <is>
          <t>Bathroom count (full + half, each counts as one)</t>
        </is>
      </c>
      <c r="B25" s="9">
        <f>$B$6+$B$7</f>
        <v/>
      </c>
    </row>
    <row r="26">
      <c r="A26" s="2" t="inlineStr">
        <is>
          <t>Bathroom tier (3/4/5, 0 = custom review)</t>
        </is>
      </c>
      <c r="B26" s="9">
        <f>IF($B$25&gt;=Pricing!$B$9,0,IF($B$25&lt;=3,3,$B$25))</f>
        <v/>
      </c>
    </row>
    <row r="27">
      <c r="A27" s="2" t="inlineStr">
        <is>
          <t>Custom review required? (1/0)</t>
        </is>
      </c>
      <c r="B27" s="9">
        <f>IF(OR($B$26=0,AND($B$10&lt;&gt;"",$B$10&gt;=Pricing!$B$20)),1,0)</f>
        <v/>
      </c>
    </row>
    <row r="28">
      <c r="A28" s="2" t="inlineStr">
        <is>
          <t>Membership base</t>
        </is>
      </c>
      <c r="B28" s="10">
        <f>IF(AND($B$12=1,$B$27=0),IF($B$13=1,CHOOSE($B$26-2,Pricing!$B$6,Pricing!$B$7,Pricing!$B$8),CHOOSE($B$26-2,Pricing!$B$3,Pricing!$B$4,Pricing!$B$5)),0)</f>
        <v/>
      </c>
    </row>
    <row r="29">
      <c r="A29" s="2" t="inlineStr">
        <is>
          <t>Additional HVAC adder</t>
        </is>
      </c>
      <c r="B29" s="10">
        <f>IF(AND($B$12=1,$B$27=0),MAX(0,$B$8-1)*Pricing!$B$10,0)</f>
        <v/>
      </c>
    </row>
    <row r="30">
      <c r="A30" s="2" t="inlineStr">
        <is>
          <t>Additional water heater adder</t>
        </is>
      </c>
      <c r="B30" s="10">
        <f>IF(AND($B$12=1,$B$27=0),MAX(0,$B$9-1)*Pricing!$B$11,0)</f>
        <v/>
      </c>
    </row>
    <row r="31">
      <c r="A31" s="2" t="inlineStr">
        <is>
          <t>Water Defense conversion credit (first-year membership)</t>
        </is>
      </c>
      <c r="B31" s="10">
        <f>IF(AND($B$17=1,$B$12=1,$B$27=0),-Pricing!$B$16,0)</f>
        <v/>
      </c>
    </row>
    <row r="32">
      <c r="A32" s="7" t="inlineStr">
        <is>
          <t>ANNUAL TOTAL, first year (membership + adders + conversion credit)</t>
        </is>
      </c>
      <c r="B32" s="11">
        <f>ROUND($B$28+$B$29+$B$30+$B$31,2)</f>
        <v/>
      </c>
    </row>
    <row r="33">
      <c r="A33" s="2" t="inlineStr">
        <is>
          <t>Member Setup base — includes hub + first 4 standard sensors (waived on Water Defense conversion)</t>
        </is>
      </c>
      <c r="B33" s="10">
        <f>IF(AND(AND($B$12=1,$B$27=0),NOT(AND($B$17=1,$B$12=1,$B$27=0))),Pricing!$B$12,0)</f>
        <v/>
      </c>
    </row>
    <row r="34">
      <c r="A34" s="2" t="inlineStr">
        <is>
          <t>Additional standard sensors beyond included 4 (× $35)</t>
        </is>
      </c>
      <c r="B34" s="10">
        <f>$B$14*Pricing!$B$13</f>
        <v/>
      </c>
    </row>
    <row r="35">
      <c r="A35" s="2" t="inlineStr">
        <is>
          <t>Specialty / probe sensors (× $49)</t>
        </is>
      </c>
      <c r="B35" s="10">
        <f>$B$15*Pricing!$B$14</f>
        <v/>
      </c>
    </row>
    <row r="36">
      <c r="A36" s="2" t="inlineStr">
        <is>
          <t>Water Defense setup (not charged again on conversion)</t>
        </is>
      </c>
      <c r="B36" s="10">
        <f>IF(AND($B$16=1,NOT(AND($B$17=1,$B$12=1,$B$27=0))),Pricing!$B$15,0)</f>
        <v/>
      </c>
    </row>
    <row r="37">
      <c r="A37" s="7" t="inlineStr">
        <is>
          <t>SETUP TOTAL (one time, upfront; conversion = new sensors/equipment only)</t>
        </is>
      </c>
      <c r="B37" s="11">
        <f>ROUND($B$33+$B$34+$B$35+$B$36,2)</f>
        <v/>
      </c>
    </row>
    <row r="38">
      <c r="A38" s="7" t="inlineStr">
        <is>
          <t>MONTHLY PAYMENT (annual × 1.08 ÷ 12, rounded to cents)</t>
        </is>
      </c>
      <c r="B38" s="11">
        <f>IF($B$32&gt;0,ROUND($B$32*Pricing!$B$17/Pricing!$B$18,2),0)</f>
        <v/>
      </c>
    </row>
    <row r="39">
      <c r="A39" s="2" t="inlineStr">
        <is>
          <t>Monthly total over 12-month term</t>
        </is>
      </c>
      <c r="B39" s="10">
        <f>ROUND($B$38*Pricing!$B$18,2)</f>
        <v/>
      </c>
    </row>
    <row r="40">
      <c r="A40" s="2" t="inlineStr">
        <is>
          <t>Sales tax PLACEHOLDER (not a taxability determination)</t>
        </is>
      </c>
      <c r="B40" s="10">
        <f>IF(OR($B$21="",$B$22="none"),0,ROUND(IF($B$22="setup",$B$37,$B$32+$B$37)*$B$21,2))</f>
        <v/>
      </c>
    </row>
    <row r="41">
      <c r="A41" s="7" t="inlineStr">
        <is>
          <t>PAY ANNUALLY: due at signup (annual + setup + tax placeholder)</t>
        </is>
      </c>
      <c r="B41" s="11">
        <f>ROUND($B$32+$B$37+$B$40,2)</f>
        <v/>
      </c>
    </row>
    <row r="43">
      <c r="A43" s="7" t="inlineStr">
        <is>
          <t>FLAGS</t>
        </is>
      </c>
    </row>
    <row r="44">
      <c r="A44" s="12">
        <f>IF($B$26=0,"CUSTOM REVIEW: 6+ bathrooms — do not quote from table.","")</f>
        <v/>
      </c>
    </row>
    <row r="45">
      <c r="A45" s="12">
        <f>IF(AND($B$10&lt;&gt;"",$B$10&gt;=Pricing!$B$20),"CUSTOM REVIEW: &gt;= 5,000 sq ft.","")</f>
        <v/>
      </c>
    </row>
    <row r="46">
      <c r="A46" s="12">
        <f>IF($B$18=1,"FLAG: Boiler present — confirm scope before quoting.","")</f>
        <v/>
      </c>
    </row>
    <row r="47">
      <c r="A47" s="12">
        <f>IF($B$19=1,"FLAG: Well / pressure tank — confirm scope before quoting.","")</f>
        <v/>
      </c>
    </row>
    <row r="48">
      <c r="A48" s="12">
        <f>IF($B$20=1,"FLAG: Unusual complexity — review before quoting.","")</f>
        <v/>
      </c>
    </row>
    <row r="49">
      <c r="A49" s="12">
        <f>IF($B$11="","INFO: Sump pump status not confirmed — ask on call.","")</f>
        <v/>
      </c>
    </row>
    <row r="50">
      <c r="A50" s="12">
        <f>IF($B$13=1,"FOUNDING: verify seat available (first "&amp;Pricing!$B$19&amp;" homes TOTAL across launch area).","")</f>
        <v/>
      </c>
    </row>
    <row r="51">
      <c r="A51" s="12">
        <f>IF(AND($B$17=1,NOT(AND($B$12=1,$B$27=0))),"NOTE: Water Defense conversion applies only when joining a membership; not applied.","")</f>
        <v/>
      </c>
    </row>
    <row r="52">
      <c r="A52" s="12">
        <f>IF(AND($B$17=1,$B$12=1,$B$27=0),"CONVERSION: confirm Water Defense Setup completed within "&amp;Pricing!$B$21&amp;" days. No Member Setup fee; only newly approved sensors/equipment charged; $50 credit on first-year membership.","")</f>
        <v/>
      </c>
    </row>
    <row r="53">
      <c r="A53" s="12">
        <f>IF(AND(AND($B$17=1,$B$12=1,$B$27=0),$B$16=1),"NOTE: Water Defense Setup already purchased; $249 not charged again.","")</f>
        <v/>
      </c>
    </row>
    <row r="54">
      <c r="A54" s="12">
        <f>IF(OR($B$21="",$B$22="none"),"Sales tax: TBD — taxability pending CPA confirmation; rate is address-based (Ohio The Finder).","Sales tax PLACEHOLDER applied — verify before invoicing.")</f>
        <v/>
      </c>
    </row>
    <row r="56">
      <c r="A56" s="5" t="inlineStr">
        <is>
          <t>Legend: yellow/blue = fill in; black = formula; Pricing sheet holds every rate. Monthly rounding is half-up via ROUND(). Setup is paid upfront; 12-month term.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Expected results from quote_calculator.py — paste inputs into Quote sheet to spot-check</t>
        </is>
      </c>
    </row>
    <row r="3">
      <c r="A3" s="13" t="inlineStr">
        <is>
          <t>Case</t>
        </is>
      </c>
      <c r="B3" s="13" t="inlineStr">
        <is>
          <t>Full</t>
        </is>
      </c>
      <c r="C3" s="13" t="inlineStr">
        <is>
          <t>Half</t>
        </is>
      </c>
      <c r="D3" s="13" t="inlineStr">
        <is>
          <t>HVAC</t>
        </is>
      </c>
      <c r="E3" s="13" t="inlineStr">
        <is>
          <t>WH</t>
        </is>
      </c>
      <c r="F3" s="13" t="inlineStr">
        <is>
          <t>Founding</t>
        </is>
      </c>
      <c r="G3" s="13" t="inlineStr">
        <is>
          <t>Addl std sensors (beyond 4)</t>
        </is>
      </c>
      <c r="H3" s="13" t="inlineStr">
        <is>
          <t>Spec sensors</t>
        </is>
      </c>
      <c r="I3" s="13" t="inlineStr">
        <is>
          <t>Water Def</t>
        </is>
      </c>
      <c r="J3" s="13" t="inlineStr">
        <is>
          <t>Conversion</t>
        </is>
      </c>
      <c r="K3" s="13" t="inlineStr">
        <is>
          <t>Expected annual</t>
        </is>
      </c>
      <c r="L3" s="13" t="inlineStr">
        <is>
          <t>Expected setup</t>
        </is>
      </c>
      <c r="M3" s="13" t="inlineStr">
        <is>
          <t>Expected monthly</t>
        </is>
      </c>
    </row>
    <row r="4">
      <c r="A4" s="2" t="inlineStr">
        <is>
          <t>Std 2/1 baths</t>
        </is>
      </c>
      <c r="B4" s="4" t="n">
        <v>2</v>
      </c>
      <c r="C4" s="4" t="n">
        <v>1</v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3" t="n">
        <v>799</v>
      </c>
      <c r="L4" s="3" t="n">
        <v>199</v>
      </c>
      <c r="M4" s="3" t="n">
        <v>71.91</v>
      </c>
    </row>
    <row r="5">
      <c r="A5" s="2" t="inlineStr">
        <is>
          <t>Std 4 baths</t>
        </is>
      </c>
      <c r="B5" s="4" t="n">
        <v>4</v>
      </c>
      <c r="C5" s="4" t="n">
        <v>0</v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3" t="n">
        <v>899</v>
      </c>
      <c r="L5" s="3" t="n">
        <v>199</v>
      </c>
      <c r="M5" s="3" t="n">
        <v>80.91</v>
      </c>
    </row>
    <row r="6">
      <c r="A6" s="2" t="inlineStr">
        <is>
          <t>Std 5 baths</t>
        </is>
      </c>
      <c r="B6" s="4" t="n">
        <v>5</v>
      </c>
      <c r="C6" s="4" t="n">
        <v>0</v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3" t="n">
        <v>999</v>
      </c>
      <c r="L6" s="3" t="n">
        <v>199</v>
      </c>
      <c r="M6" s="3" t="n">
        <v>89.91</v>
      </c>
    </row>
    <row r="7">
      <c r="A7" s="2" t="inlineStr">
        <is>
          <t>Founding 2/1 + 2 HVAC + 3 ADDITIONAL std + 1 spec (Scenario A)</t>
        </is>
      </c>
      <c r="B7" s="4" t="n">
        <v>2</v>
      </c>
      <c r="C7" s="4" t="n">
        <v>1</v>
      </c>
      <c r="D7" s="4" t="n">
        <v>2</v>
      </c>
      <c r="E7" s="4" t="n">
        <v>1</v>
      </c>
      <c r="F7" s="4" t="n">
        <v>1</v>
      </c>
      <c r="G7" s="4" t="n">
        <v>3</v>
      </c>
      <c r="H7" s="4" t="n">
        <v>1</v>
      </c>
      <c r="I7" s="4" t="n">
        <v>0</v>
      </c>
      <c r="J7" s="4" t="n">
        <v>0</v>
      </c>
      <c r="K7" s="3" t="n">
        <v>849</v>
      </c>
      <c r="L7" s="3" t="n">
        <v>353</v>
      </c>
      <c r="M7" s="3" t="n">
        <v>76.41</v>
      </c>
    </row>
    <row r="8">
      <c r="A8" s="2" t="inlineStr">
        <is>
          <t>Founding 2/1 + 2 HVAC + 3 TOTAL std (0 additional) + 1 spec</t>
        </is>
      </c>
      <c r="B8" s="4" t="n">
        <v>2</v>
      </c>
      <c r="C8" s="4" t="n">
        <v>1</v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1</v>
      </c>
      <c r="I8" s="4" t="n">
        <v>0</v>
      </c>
      <c r="J8" s="4" t="n">
        <v>0</v>
      </c>
      <c r="K8" s="3" t="n">
        <v>849</v>
      </c>
      <c r="L8" s="3" t="n">
        <v>248</v>
      </c>
      <c r="M8" s="3" t="n">
        <v>76.41</v>
      </c>
    </row>
    <row r="9">
      <c r="A9" s="2" t="inlineStr">
        <is>
          <t>Founding 3/1 (tier 4) + 2 WH</t>
        </is>
      </c>
      <c r="B9" s="4" t="n">
        <v>3</v>
      </c>
      <c r="C9" s="4" t="n">
        <v>1</v>
      </c>
      <c r="D9" s="4" t="n">
        <v>1</v>
      </c>
      <c r="E9" s="4" t="n">
        <v>2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3" t="n">
        <v>839</v>
      </c>
      <c r="L9" s="3" t="n">
        <v>199</v>
      </c>
      <c r="M9" s="3" t="n">
        <v>75.51000000000001</v>
      </c>
    </row>
    <row r="10">
      <c r="A10" s="2" t="inlineStr">
        <is>
          <t>Std 2 baths + Water Defense</t>
        </is>
      </c>
      <c r="B10" s="4" t="n">
        <v>2</v>
      </c>
      <c r="C10" s="4" t="n">
        <v>0</v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3" t="n">
        <v>799</v>
      </c>
      <c r="L10" s="3" t="n">
        <v>448</v>
      </c>
      <c r="M10" s="3" t="n">
        <v>71.91</v>
      </c>
    </row>
    <row r="11">
      <c r="A11" s="2" t="inlineStr">
        <is>
          <t>Std 2/2 baths (4 bathrooms -&gt; 4-bath tier)</t>
        </is>
      </c>
      <c r="B11" s="4" t="n">
        <v>2</v>
      </c>
      <c r="C11" s="4" t="n">
        <v>2</v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3" t="n">
        <v>899</v>
      </c>
      <c r="L11" s="3" t="n">
        <v>199</v>
      </c>
      <c r="M11" s="3" t="n">
        <v>80.91</v>
      </c>
    </row>
    <row r="12">
      <c r="A12" s="2" t="inlineStr">
        <is>
          <t>Std 2/1 + WD conversion + 1 new std sensor</t>
        </is>
      </c>
      <c r="B12" s="4" t="n">
        <v>2</v>
      </c>
      <c r="C12" s="4" t="n">
        <v>1</v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1</v>
      </c>
      <c r="K12" s="3" t="n">
        <v>749</v>
      </c>
      <c r="L12" s="3" t="n">
        <v>35</v>
      </c>
      <c r="M12" s="3" t="n">
        <v>67.41</v>
      </c>
    </row>
    <row r="13">
      <c r="A13" s="2" t="inlineStr">
        <is>
          <t>Founding 3/1 + 2 HVAC + WD conversion</t>
        </is>
      </c>
      <c r="B13" s="4" t="n">
        <v>3</v>
      </c>
      <c r="C13" s="4" t="n">
        <v>1</v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1</v>
      </c>
      <c r="K13" s="3" t="n">
        <v>899</v>
      </c>
      <c r="L13" s="3" t="n">
        <v>0</v>
      </c>
      <c r="M13" s="3" t="n">
        <v>80.91</v>
      </c>
    </row>
    <row r="14">
      <c r="A14" s="2" t="inlineStr">
        <is>
          <t>WD conversion with WD box ticked (no double charge)</t>
        </is>
      </c>
      <c r="B14" s="4" t="n">
        <v>2</v>
      </c>
      <c r="C14" s="4" t="n">
        <v>0</v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1</v>
      </c>
      <c r="K14" s="3" t="n">
        <v>749</v>
      </c>
      <c r="L14" s="3" t="n">
        <v>0</v>
      </c>
      <c r="M14" s="3" t="n">
        <v>67.41</v>
      </c>
    </row>
    <row r="15">
      <c r="A15" s="2" t="inlineStr">
        <is>
          <t>6 baths -&gt; custom review</t>
        </is>
      </c>
      <c r="B15" s="4" t="n">
        <v>6</v>
      </c>
      <c r="C15" s="4" t="n">
        <v>0</v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3" t="n">
        <v>0</v>
      </c>
      <c r="L15" s="3" t="n">
        <v>0</v>
      </c>
      <c r="M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2026-09-24T20:27:19Z</dcterms:created>
  <dcterms:modified xsi:type="dcterms:W3CDTF">2026-09-24T20:27:22Z</dcterms:modified>
</cp:coreProperties>
</file>